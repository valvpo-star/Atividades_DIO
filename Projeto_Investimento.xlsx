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andro\Downloads\"/>
    </mc:Choice>
  </mc:AlternateContent>
  <xr:revisionPtr revIDLastSave="0" documentId="8_{F6C12D42-ECAB-4857-856F-71733CC08928}" xr6:coauthVersionLast="47" xr6:coauthVersionMax="47" xr10:uidLastSave="{00000000-0000-0000-0000-000000000000}"/>
  <bookViews>
    <workbookView xWindow="-108" yWindow="-108" windowWidth="23256" windowHeight="12456" tabRatio="359" activeTab="1" xr2:uid="{829D2E2A-BDEF-4ACB-B8E6-D301166274BF}"/>
  </bookViews>
  <sheets>
    <sheet name="Planilha2" sheetId="2" r:id="rId1"/>
    <sheet name="Planilha3" sheetId="3" r:id="rId2"/>
  </sheets>
  <definedNames>
    <definedName name="Aporte">Planilha2!$D$21</definedName>
    <definedName name="Qtde_anos">Planilha2!$D$22</definedName>
    <definedName name="rendimento_carteira">Planilha2!$D$17</definedName>
    <definedName name="salario">Planilha2!$B$16</definedName>
    <definedName name="sugestao_investimento">Planilha2!$B$18</definedName>
    <definedName name="taxa_mensal">Planilha2!$D$23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2" l="1"/>
  <c r="C43" i="2"/>
  <c r="C44" i="2"/>
  <c r="C45" i="2"/>
  <c r="C46" i="2"/>
  <c r="C41" i="2"/>
  <c r="H4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5" i="3"/>
  <c r="C37" i="2"/>
  <c r="D18" i="2"/>
  <c r="D24" i="2"/>
  <c r="D25" i="2" s="1"/>
  <c r="C30" i="2"/>
  <c r="D30" i="2" s="1"/>
  <c r="C31" i="2"/>
  <c r="D31" i="2" s="1"/>
  <c r="C32" i="2"/>
  <c r="D32" i="2" s="1"/>
  <c r="C33" i="2"/>
  <c r="D33" i="2" s="1"/>
  <c r="C29" i="2"/>
  <c r="D29" i="2" s="1"/>
  <c r="D41" i="2" l="1"/>
  <c r="D46" i="2"/>
  <c r="D45" i="2"/>
  <c r="D44" i="2"/>
  <c r="D43" i="2"/>
  <c r="D42" i="2"/>
  <c r="D47" i="2" l="1"/>
</calcChain>
</file>

<file path=xl/sharedStrings.xml><?xml version="1.0" encoding="utf-8"?>
<sst xmlns="http://schemas.openxmlformats.org/spreadsheetml/2006/main" count="71" uniqueCount="35">
  <si>
    <t>Quanto investir por mês?</t>
  </si>
  <si>
    <t>Taxa de rendimento mensal?</t>
  </si>
  <si>
    <t>Por quantos anos?</t>
  </si>
  <si>
    <t>Patrimônio acumulado?</t>
  </si>
  <si>
    <t>Dividendos mensais?</t>
  </si>
  <si>
    <t>INVESTIMENTO MENSAL</t>
  </si>
  <si>
    <t>Quanto em 02 anos?</t>
  </si>
  <si>
    <t>Quanto em 05 anos?</t>
  </si>
  <si>
    <t>Quanto em 10 anos?</t>
  </si>
  <si>
    <t>CENÁRIOS</t>
  </si>
  <si>
    <t>Quanto em 20 anos?</t>
  </si>
  <si>
    <t>Quanto em 30 anos?</t>
  </si>
  <si>
    <t>DIVIDENDOS</t>
  </si>
  <si>
    <t>CONFIGURAÇÕES</t>
  </si>
  <si>
    <t>Rendimento carteira</t>
  </si>
  <si>
    <t>Salário</t>
  </si>
  <si>
    <t>Sugestão de Investimento</t>
  </si>
  <si>
    <t>VALOR A SER INVESTIDO POR MÊS</t>
  </si>
  <si>
    <t>PERFIL</t>
  </si>
  <si>
    <t>AGRESSIVO</t>
  </si>
  <si>
    <t>TIPO DE FII</t>
  </si>
  <si>
    <t>PERCENTUAL SUGERIDO</t>
  </si>
  <si>
    <t>VALORES</t>
  </si>
  <si>
    <t>PAPEL</t>
  </si>
  <si>
    <t>TIJOLO</t>
  </si>
  <si>
    <t>HIBRIDOS</t>
  </si>
  <si>
    <t>DESENVOLVIMENTO</t>
  </si>
  <si>
    <t>HOTELARIAS</t>
  </si>
  <si>
    <t>FOFs</t>
  </si>
  <si>
    <t>CONSERVADOR</t>
  </si>
  <si>
    <t>PERCENTUAL</t>
  </si>
  <si>
    <t>CHAVE</t>
  </si>
  <si>
    <t>MODERADO</t>
  </si>
  <si>
    <t>MODERADO-TIJOLO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</si>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</sst>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Calibri"/>
      <family val="2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8" fillId="3" borderId="0" xfId="0" applyFont="1" applyFill="1" applyAlignment="1">
      <alignment horizontal="center" vertical="center"/>
    </xf>
    <xf numFmtId="164" fontId="0" fillId="0" borderId="0" xfId="0" applyNumberFormat="1"/>
    <xf numFmtId="164" fontId="0" fillId="0" borderId="3" xfId="1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7" xfId="2" applyNumberFormat="1" applyFont="1" applyBorder="1" applyAlignment="1">
      <alignment horizontal="center"/>
    </xf>
    <xf numFmtId="8" fontId="3" fillId="5" borderId="6" xfId="0" applyNumberFormat="1" applyFont="1" applyFill="1" applyBorder="1" applyAlignment="1">
      <alignment horizontal="center"/>
    </xf>
    <xf numFmtId="8" fontId="3" fillId="5" borderId="8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left" indent="3"/>
    </xf>
    <xf numFmtId="0" fontId="2" fillId="2" borderId="0" xfId="3" applyBorder="1" applyAlignment="1">
      <alignment horizontal="left" indent="3"/>
    </xf>
    <xf numFmtId="0" fontId="2" fillId="2" borderId="0" xfId="3" applyAlignment="1">
      <alignment horizontal="center"/>
    </xf>
    <xf numFmtId="0" fontId="0" fillId="5" borderId="0" xfId="0" applyFill="1"/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left" indent="3"/>
    </xf>
    <xf numFmtId="0" fontId="0" fillId="5" borderId="10" xfId="0" applyFill="1" applyBorder="1" applyAlignment="1">
      <alignment horizontal="left" indent="3"/>
    </xf>
    <xf numFmtId="0" fontId="0" fillId="5" borderId="4" xfId="0" applyFill="1" applyBorder="1" applyAlignment="1">
      <alignment horizontal="left" indent="3"/>
    </xf>
    <xf numFmtId="0" fontId="0" fillId="5" borderId="5" xfId="0" applyFill="1" applyBorder="1" applyAlignment="1">
      <alignment horizontal="left" indent="3"/>
    </xf>
    <xf numFmtId="0" fontId="5" fillId="3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left" indent="3"/>
    </xf>
    <xf numFmtId="0" fontId="6" fillId="0" borderId="10" xfId="0" applyFont="1" applyBorder="1" applyAlignment="1">
      <alignment horizontal="left" indent="3"/>
    </xf>
    <xf numFmtId="0" fontId="7" fillId="5" borderId="9" xfId="0" applyFont="1" applyFill="1" applyBorder="1" applyAlignment="1">
      <alignment horizontal="left" indent="3"/>
    </xf>
    <xf numFmtId="0" fontId="7" fillId="5" borderId="10" xfId="0" applyFont="1" applyFill="1" applyBorder="1" applyAlignment="1">
      <alignment horizontal="left" indent="3"/>
    </xf>
    <xf numFmtId="9" fontId="0" fillId="0" borderId="0" xfId="2" applyFont="1" applyAlignment="1">
      <alignment horizontal="center"/>
    </xf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3" fillId="4" borderId="17" xfId="0" applyFont="1" applyFill="1" applyBorder="1"/>
    <xf numFmtId="0" fontId="3" fillId="4" borderId="18" xfId="0" applyFont="1" applyFill="1" applyBorder="1" applyAlignment="1">
      <alignment horizontal="center"/>
    </xf>
    <xf numFmtId="164" fontId="3" fillId="4" borderId="19" xfId="0" applyNumberFormat="1" applyFont="1" applyFill="1" applyBorder="1" applyAlignment="1">
      <alignment horizontal="center"/>
    </xf>
    <xf numFmtId="0" fontId="0" fillId="0" borderId="11" xfId="0" applyBorder="1"/>
    <xf numFmtId="0" fontId="3" fillId="6" borderId="11" xfId="0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3654855643044626"/>
          <c:y val="0.90277777777777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Planilha2!$C$40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FOFs</c:v>
                </c:pt>
                <c:pt idx="3">
                  <c:v>HIBRIDOS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Planilha2!$C$41:$C$46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9-418F-8185-11DF12043E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83820</xdr:colOff>
      <xdr:row>0</xdr:row>
      <xdr:rowOff>106680</xdr:rowOff>
    </xdr:from>
    <xdr:to>
      <xdr:col>4</xdr:col>
      <xdr:colOff>53340</xdr:colOff>
      <xdr:row>11</xdr:row>
      <xdr:rowOff>45720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C4D7752-6954-2969-14B5-7521EED0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106680"/>
          <a:ext cx="5334000" cy="1950720"/>
        </a:xfrm>
        <a:prstGeom prst="rect">
          <a:avLst/>
        </a:prstGeom>
      </xdr:spPr>
    </xdr:pic>
    <xdr:clientData/>
  </xdr:twoCellAnchor>
  <xdr:twoCellAnchor>
    <xdr:from>
      <xdr:col>1</xdr:col>
      <xdr:colOff>316230</xdr:colOff>
      <xdr:row>47</xdr:row>
      <xdr:rowOff>118110</xdr:rowOff>
    </xdr:from>
    <xdr:to>
      <xdr:col>3</xdr:col>
      <xdr:colOff>636270</xdr:colOff>
      <xdr:row>62</xdr:row>
      <xdr:rowOff>118110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44972A-DEAE-99E2-34E1-AAF4597D1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2766-687F-4F40-B462-3E2FF61C4254}">
  <dimension ref="A14:J47"/>
  <sheetViews>
    <sheetView showGridLines="0" showRowColHeaders="0" topLeftCell="A35" zoomScaleNormal="100" workbookViewId="0">
      <selection activeCell="B40" sqref="B40:C46"/>
    </sheetView>
  </sheetViews>
  <sheetFormatPr defaultColWidth="0" defaultRowHeight="14.4" x14ac:dyDescent="0.3"/>
  <cols>
    <col min="1" max="1" width="8.88671875" customWidth="1"/>
    <col min="2" max="2" width="31.33203125" customWidth="1"/>
    <col min="3" max="3" width="30.6640625" style="1" customWidth="1"/>
    <col min="4" max="4" width="16.21875" style="1" bestFit="1" customWidth="1"/>
    <col min="5" max="5" width="2.77734375" customWidth="1"/>
    <col min="6" max="6" width="4.109375" customWidth="1"/>
    <col min="7" max="7" width="1.88671875" style="4" customWidth="1"/>
    <col min="8" max="9" width="8.88671875" hidden="1" customWidth="1"/>
    <col min="10" max="10" width="9" hidden="1" customWidth="1"/>
    <col min="11" max="16384" width="8.88671875" hidden="1"/>
  </cols>
  <sheetData>
    <row r="14" spans="2:4" x14ac:dyDescent="0.3">
      <c r="C14" s="8"/>
    </row>
    <row r="15" spans="2:4" ht="26.4" thickBot="1" x14ac:dyDescent="0.35">
      <c r="B15" s="24" t="s">
        <v>13</v>
      </c>
      <c r="C15" s="24"/>
      <c r="D15" s="24"/>
    </row>
    <row r="16" spans="2:4" ht="15" thickBot="1" x14ac:dyDescent="0.35">
      <c r="B16" s="20" t="s">
        <v>15</v>
      </c>
      <c r="C16" s="21"/>
      <c r="D16" s="6">
        <v>5000</v>
      </c>
    </row>
    <row r="17" spans="1:4" ht="15" thickBot="1" x14ac:dyDescent="0.35">
      <c r="B17" s="20" t="s">
        <v>14</v>
      </c>
      <c r="C17" s="21"/>
      <c r="D17" s="7">
        <v>6.0000000000000001E-3</v>
      </c>
    </row>
    <row r="18" spans="1:4" ht="15" thickBot="1" x14ac:dyDescent="0.35">
      <c r="B18" s="22" t="s">
        <v>16</v>
      </c>
      <c r="C18" s="23"/>
      <c r="D18" s="6">
        <f>D16*30%</f>
        <v>1500</v>
      </c>
    </row>
    <row r="20" spans="1:4" ht="30.6" customHeight="1" thickBot="1" x14ac:dyDescent="0.35">
      <c r="B20" s="24" t="s">
        <v>5</v>
      </c>
      <c r="C20" s="24"/>
      <c r="D20" s="24"/>
    </row>
    <row r="21" spans="1:4" ht="18" thickBot="1" x14ac:dyDescent="0.4">
      <c r="B21" s="25" t="s">
        <v>0</v>
      </c>
      <c r="C21" s="26"/>
      <c r="D21" s="5">
        <v>500</v>
      </c>
    </row>
    <row r="22" spans="1:4" ht="18" thickBot="1" x14ac:dyDescent="0.4">
      <c r="B22" s="25" t="s">
        <v>2</v>
      </c>
      <c r="C22" s="26"/>
      <c r="D22" s="10">
        <v>5</v>
      </c>
    </row>
    <row r="23" spans="1:4" ht="18" thickBot="1" x14ac:dyDescent="0.4">
      <c r="B23" s="25" t="s">
        <v>1</v>
      </c>
      <c r="C23" s="26"/>
      <c r="D23" s="11">
        <v>1.0800000000000001E-2</v>
      </c>
    </row>
    <row r="24" spans="1:4" ht="18" thickBot="1" x14ac:dyDescent="0.4">
      <c r="B24" s="27" t="s">
        <v>3</v>
      </c>
      <c r="C24" s="28"/>
      <c r="D24" s="12">
        <f>FV(taxa_mensal,Qtde_anos*12,Aporte*-1)</f>
        <v>41902.00967962922</v>
      </c>
    </row>
    <row r="25" spans="1:4" ht="18" thickBot="1" x14ac:dyDescent="0.4">
      <c r="B25" s="27" t="s">
        <v>4</v>
      </c>
      <c r="C25" s="28"/>
      <c r="D25" s="13">
        <f>D24*rendimento_carteira</f>
        <v>251.41205807777533</v>
      </c>
    </row>
    <row r="28" spans="1:4" ht="25.8" x14ac:dyDescent="0.3">
      <c r="B28" s="24" t="s">
        <v>9</v>
      </c>
      <c r="C28" s="24"/>
      <c r="D28" s="3" t="s">
        <v>12</v>
      </c>
    </row>
    <row r="29" spans="1:4" x14ac:dyDescent="0.3">
      <c r="A29" s="2">
        <v>2</v>
      </c>
      <c r="B29" s="14" t="s">
        <v>6</v>
      </c>
      <c r="C29" s="9">
        <f>FV($D$23,$A29*12,$D$21*-1)</f>
        <v>13615.431830290796</v>
      </c>
      <c r="D29" s="9">
        <f>C29*rendimento_carteira</f>
        <v>81.692590981744772</v>
      </c>
    </row>
    <row r="30" spans="1:4" x14ac:dyDescent="0.3">
      <c r="A30" s="2">
        <v>5</v>
      </c>
      <c r="B30" s="14" t="s">
        <v>7</v>
      </c>
      <c r="C30" s="9">
        <f>FV($D$23,$A30*12,$D$21*-1)</f>
        <v>41902.00967962922</v>
      </c>
      <c r="D30" s="9">
        <f>C30*rendimento_carteira</f>
        <v>251.41205807777533</v>
      </c>
    </row>
    <row r="31" spans="1:4" x14ac:dyDescent="0.3">
      <c r="A31" s="2">
        <v>10</v>
      </c>
      <c r="B31" s="14" t="s">
        <v>8</v>
      </c>
      <c r="C31" s="9">
        <f>FV($D$23,$A31*12,$D$21*-1)</f>
        <v>121728.83312740005</v>
      </c>
      <c r="D31" s="9">
        <f>C31*rendimento_carteira</f>
        <v>730.37299876440034</v>
      </c>
    </row>
    <row r="32" spans="1:4" x14ac:dyDescent="0.3">
      <c r="A32" s="2">
        <v>20</v>
      </c>
      <c r="B32" s="14" t="s">
        <v>10</v>
      </c>
      <c r="C32" s="9">
        <f>FV($D$23,$A32*12,$D$21*-1)</f>
        <v>563524.49664926168</v>
      </c>
      <c r="D32" s="9">
        <f>C32*rendimento_carteira</f>
        <v>3381.14697989557</v>
      </c>
    </row>
    <row r="33" spans="1:4" x14ac:dyDescent="0.3">
      <c r="A33" s="2">
        <v>30</v>
      </c>
      <c r="B33" s="14" t="s">
        <v>11</v>
      </c>
      <c r="C33" s="9">
        <f>FV($D$23,$A33*12,$D$21*-1)</f>
        <v>2166952.4051583759</v>
      </c>
      <c r="D33" s="9">
        <f>C33*rendimento_carteira</f>
        <v>13001.714430950255</v>
      </c>
    </row>
    <row r="36" spans="1:4" x14ac:dyDescent="0.3">
      <c r="B36" s="15" t="s">
        <v>18</v>
      </c>
      <c r="C36" s="16" t="s">
        <v>29</v>
      </c>
      <c r="D36" s="16"/>
    </row>
    <row r="37" spans="1:4" x14ac:dyDescent="0.3">
      <c r="B37" s="17" t="s">
        <v>17</v>
      </c>
      <c r="C37" s="18">
        <f>Aporte</f>
        <v>500</v>
      </c>
      <c r="D37" s="19"/>
    </row>
    <row r="39" spans="1:4" ht="15" thickBot="1" x14ac:dyDescent="0.35"/>
    <row r="40" spans="1:4" x14ac:dyDescent="0.3">
      <c r="B40" s="32" t="s">
        <v>20</v>
      </c>
      <c r="C40" s="33" t="s">
        <v>21</v>
      </c>
      <c r="D40" s="34" t="s">
        <v>22</v>
      </c>
    </row>
    <row r="41" spans="1:4" x14ac:dyDescent="0.3">
      <c r="B41" s="35" t="s">
        <v>23</v>
      </c>
      <c r="C41" s="31">
        <f>VLOOKUP($C$36&amp;"-"&amp;B41,Planilha3!A4:D22,4,FALSE)</f>
        <v>0.3</v>
      </c>
      <c r="D41" s="36">
        <f t="shared" ref="D41:D46" si="0">C41*$C$37</f>
        <v>150</v>
      </c>
    </row>
    <row r="42" spans="1:4" x14ac:dyDescent="0.3">
      <c r="B42" s="35" t="s">
        <v>24</v>
      </c>
      <c r="C42" s="31">
        <f>VLOOKUP($C$36&amp;"-"&amp;B42,Planilha3!A5:D23,4,FALSE)</f>
        <v>0.5</v>
      </c>
      <c r="D42" s="36">
        <f t="shared" si="0"/>
        <v>250</v>
      </c>
    </row>
    <row r="43" spans="1:4" x14ac:dyDescent="0.3">
      <c r="B43" s="35" t="s">
        <v>28</v>
      </c>
      <c r="C43" s="31">
        <f>VLOOKUP($C$36&amp;"-"&amp;B43,Planilha3!A6:D24,4,FALSE)</f>
        <v>0.1</v>
      </c>
      <c r="D43" s="36">
        <f t="shared" si="0"/>
        <v>50</v>
      </c>
    </row>
    <row r="44" spans="1:4" x14ac:dyDescent="0.3">
      <c r="B44" s="35" t="s">
        <v>25</v>
      </c>
      <c r="C44" s="31">
        <f>VLOOKUP($C$36&amp;"-"&amp;B44,Planilha3!A7:D25,4,FALSE)</f>
        <v>0.1</v>
      </c>
      <c r="D44" s="36">
        <f t="shared" si="0"/>
        <v>50</v>
      </c>
    </row>
    <row r="45" spans="1:4" x14ac:dyDescent="0.3">
      <c r="B45" s="35" t="s">
        <v>26</v>
      </c>
      <c r="C45" s="31">
        <f>VLOOKUP($C$36&amp;"-"&amp;B45,Planilha3!A8:D26,4,FALSE)</f>
        <v>0</v>
      </c>
      <c r="D45" s="36">
        <f t="shared" si="0"/>
        <v>0</v>
      </c>
    </row>
    <row r="46" spans="1:4" x14ac:dyDescent="0.3">
      <c r="B46" s="35" t="s">
        <v>27</v>
      </c>
      <c r="C46" s="31">
        <f>VLOOKUP($C$36&amp;"-"&amp;B46,Planilha3!A9:D27,4,FALSE)</f>
        <v>0</v>
      </c>
      <c r="D46" s="36">
        <f t="shared" si="0"/>
        <v>0</v>
      </c>
    </row>
    <row r="47" spans="1:4" ht="15" thickBot="1" x14ac:dyDescent="0.35">
      <c r="B47" s="37"/>
      <c r="C47" s="38"/>
      <c r="D47" s="39">
        <f>SUM(D41:D46)</f>
        <v>500</v>
      </c>
    </row>
  </sheetData>
  <mergeCells count="11">
    <mergeCell ref="B28:C28"/>
    <mergeCell ref="B22:C22"/>
    <mergeCell ref="B23:C23"/>
    <mergeCell ref="B24:C24"/>
    <mergeCell ref="B25:C25"/>
    <mergeCell ref="B16:C16"/>
    <mergeCell ref="B17:C17"/>
    <mergeCell ref="B18:C18"/>
    <mergeCell ref="B15:D15"/>
    <mergeCell ref="B21:C21"/>
    <mergeCell ref="B20:D20"/>
  </mergeCells>
  <dataValidations disablePrompts="1" count="1">
    <dataValidation type="list" allowBlank="1" showInputMessage="1" showErrorMessage="1" sqref="C36" xr:uid="{696701A3-AC08-4B5D-A25D-D11D22041808}">
      <formula1>"AGRESSIVO,MODERADO,CONSERVADOR"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A6F9-E4DF-451F-B0C7-FE81AB402725}">
  <dimension ref="A3:H22"/>
  <sheetViews>
    <sheetView tabSelected="1" workbookViewId="0">
      <selection activeCell="H16" sqref="H16"/>
    </sheetView>
  </sheetViews>
  <sheetFormatPr defaultRowHeight="14.4" x14ac:dyDescent="0.3"/>
  <cols>
    <col min="1" max="1" width="31.5546875" bestFit="1" customWidth="1"/>
    <col min="2" max="2" width="21.33203125" customWidth="1"/>
    <col min="3" max="3" width="17.6640625" bestFit="1" customWidth="1"/>
    <col min="4" max="4" width="15.77734375" style="1" customWidth="1"/>
    <col min="7" max="7" width="17.21875" bestFit="1" customWidth="1"/>
    <col min="8" max="8" width="31.6640625" style="1" customWidth="1"/>
  </cols>
  <sheetData>
    <row r="3" spans="1:8" x14ac:dyDescent="0.3">
      <c r="H3" s="1" t="s">
        <v>34</v>
      </c>
    </row>
    <row r="4" spans="1:8" x14ac:dyDescent="0.3">
      <c r="A4" s="41" t="s">
        <v>31</v>
      </c>
      <c r="B4" s="41" t="s">
        <v>18</v>
      </c>
      <c r="C4" s="41" t="s">
        <v>20</v>
      </c>
      <c r="D4" s="41" t="s">
        <v>30</v>
      </c>
      <c r="G4" t="s">
        <v>33</v>
      </c>
      <c r="H4" s="29">
        <f>VLOOKUP(G4,$A$4:$D$22,4,FALSE)</f>
        <v>0.4</v>
      </c>
    </row>
    <row r="5" spans="1:8" x14ac:dyDescent="0.3">
      <c r="A5" s="40" t="str">
        <f>$B5&amp;"-"&amp;C5</f>
        <v>CONSERVADOR-PAPEL</v>
      </c>
      <c r="B5" s="40" t="s">
        <v>29</v>
      </c>
      <c r="C5" s="30" t="s">
        <v>23</v>
      </c>
      <c r="D5" s="31">
        <v>0.3</v>
      </c>
    </row>
    <row r="6" spans="1:8" x14ac:dyDescent="0.3">
      <c r="A6" s="40" t="str">
        <f t="shared" ref="A6:A22" si="0">$B6&amp;"-"&amp;C6</f>
        <v>CONSERVADOR-TIJOLO</v>
      </c>
      <c r="B6" s="40" t="s">
        <v>29</v>
      </c>
      <c r="C6" s="30" t="s">
        <v>24</v>
      </c>
      <c r="D6" s="31">
        <v>0.5</v>
      </c>
    </row>
    <row r="7" spans="1:8" x14ac:dyDescent="0.3">
      <c r="A7" s="40" t="str">
        <f t="shared" si="0"/>
        <v>CONSERVADOR-FOFs</v>
      </c>
      <c r="B7" s="40" t="s">
        <v>29</v>
      </c>
      <c r="C7" s="30" t="s">
        <v>28</v>
      </c>
      <c r="D7" s="31">
        <v>0.1</v>
      </c>
    </row>
    <row r="8" spans="1:8" x14ac:dyDescent="0.3">
      <c r="A8" s="40" t="str">
        <f t="shared" si="0"/>
        <v>CONSERVADOR-HIBRIDOS</v>
      </c>
      <c r="B8" s="40" t="s">
        <v>29</v>
      </c>
      <c r="C8" s="30" t="s">
        <v>25</v>
      </c>
      <c r="D8" s="31">
        <v>0.1</v>
      </c>
    </row>
    <row r="9" spans="1:8" x14ac:dyDescent="0.3">
      <c r="A9" s="40" t="str">
        <f t="shared" si="0"/>
        <v>CONSERVADOR-DESENVOLVIMENTO</v>
      </c>
      <c r="B9" s="40" t="s">
        <v>29</v>
      </c>
      <c r="C9" s="30" t="s">
        <v>26</v>
      </c>
      <c r="D9" s="31">
        <v>0</v>
      </c>
    </row>
    <row r="10" spans="1:8" x14ac:dyDescent="0.3">
      <c r="A10" s="40" t="str">
        <f t="shared" si="0"/>
        <v>CONSERVADOR-HOTELARIAS</v>
      </c>
      <c r="B10" s="40" t="s">
        <v>29</v>
      </c>
      <c r="C10" s="30" t="s">
        <v>27</v>
      </c>
      <c r="D10" s="31">
        <v>0</v>
      </c>
    </row>
    <row r="11" spans="1:8" x14ac:dyDescent="0.3">
      <c r="A11" s="40" t="str">
        <f t="shared" si="0"/>
        <v>MODERADO-PAPEL</v>
      </c>
      <c r="B11" s="40" t="s">
        <v>32</v>
      </c>
      <c r="C11" s="30" t="s">
        <v>23</v>
      </c>
      <c r="D11" s="31">
        <v>0.32</v>
      </c>
    </row>
    <row r="12" spans="1:8" x14ac:dyDescent="0.3">
      <c r="A12" s="40" t="str">
        <f t="shared" si="0"/>
        <v>MODERADO-TIJOLO</v>
      </c>
      <c r="B12" s="40" t="s">
        <v>32</v>
      </c>
      <c r="C12" s="30" t="s">
        <v>24</v>
      </c>
      <c r="D12" s="31">
        <v>0.4</v>
      </c>
    </row>
    <row r="13" spans="1:8" x14ac:dyDescent="0.3">
      <c r="A13" s="40" t="str">
        <f t="shared" si="0"/>
        <v>MODERADO-FOFs</v>
      </c>
      <c r="B13" s="40" t="s">
        <v>32</v>
      </c>
      <c r="C13" s="30" t="s">
        <v>28</v>
      </c>
      <c r="D13" s="31">
        <v>0.1</v>
      </c>
    </row>
    <row r="14" spans="1:8" x14ac:dyDescent="0.3">
      <c r="A14" s="40" t="str">
        <f t="shared" si="0"/>
        <v>MODERADO-HIBRIDOS</v>
      </c>
      <c r="B14" s="40" t="s">
        <v>32</v>
      </c>
      <c r="C14" s="30" t="s">
        <v>25</v>
      </c>
      <c r="D14" s="31">
        <v>0.08</v>
      </c>
    </row>
    <row r="15" spans="1:8" x14ac:dyDescent="0.3">
      <c r="A15" s="40" t="str">
        <f t="shared" si="0"/>
        <v>MODERADO-DESENVOLVIMENTO</v>
      </c>
      <c r="B15" s="40" t="s">
        <v>32</v>
      </c>
      <c r="C15" s="30" t="s">
        <v>26</v>
      </c>
      <c r="D15" s="31">
        <v>0.05</v>
      </c>
    </row>
    <row r="16" spans="1:8" x14ac:dyDescent="0.3">
      <c r="A16" s="40" t="str">
        <f t="shared" si="0"/>
        <v>MODERADO-HOTELARIAS</v>
      </c>
      <c r="B16" s="40" t="s">
        <v>32</v>
      </c>
      <c r="C16" s="30" t="s">
        <v>27</v>
      </c>
      <c r="D16" s="31">
        <v>0.05</v>
      </c>
    </row>
    <row r="17" spans="1:4" x14ac:dyDescent="0.3">
      <c r="A17" s="40" t="str">
        <f t="shared" si="0"/>
        <v>AGRESSIVO-PAPEL</v>
      </c>
      <c r="B17" s="40" t="s">
        <v>19</v>
      </c>
      <c r="C17" s="30" t="s">
        <v>23</v>
      </c>
      <c r="D17" s="31">
        <v>0.5</v>
      </c>
    </row>
    <row r="18" spans="1:4" x14ac:dyDescent="0.3">
      <c r="A18" s="40" t="str">
        <f t="shared" si="0"/>
        <v>AGRESSIVO-TIJOLO</v>
      </c>
      <c r="B18" s="40" t="s">
        <v>19</v>
      </c>
      <c r="C18" s="30" t="s">
        <v>24</v>
      </c>
      <c r="D18" s="31">
        <v>0.1</v>
      </c>
    </row>
    <row r="19" spans="1:4" x14ac:dyDescent="0.3">
      <c r="A19" s="40" t="str">
        <f t="shared" si="0"/>
        <v>AGRESSIVO-FOFs</v>
      </c>
      <c r="B19" s="40" t="s">
        <v>19</v>
      </c>
      <c r="C19" s="30" t="s">
        <v>28</v>
      </c>
      <c r="D19" s="31">
        <v>0.05</v>
      </c>
    </row>
    <row r="20" spans="1:4" x14ac:dyDescent="0.3">
      <c r="A20" s="40" t="str">
        <f t="shared" si="0"/>
        <v>AGRESSIVO-HIBRIDOS</v>
      </c>
      <c r="B20" s="40" t="s">
        <v>19</v>
      </c>
      <c r="C20" s="30" t="s">
        <v>25</v>
      </c>
      <c r="D20" s="31">
        <v>0.05</v>
      </c>
    </row>
    <row r="21" spans="1:4" x14ac:dyDescent="0.3">
      <c r="A21" s="40" t="str">
        <f t="shared" si="0"/>
        <v>AGRESSIVO-DESENVOLVIMENTO</v>
      </c>
      <c r="B21" s="40" t="s">
        <v>19</v>
      </c>
      <c r="C21" s="30" t="s">
        <v>26</v>
      </c>
      <c r="D21" s="31">
        <v>0.2</v>
      </c>
    </row>
    <row r="22" spans="1:4" x14ac:dyDescent="0.3">
      <c r="A22" s="40" t="str">
        <f t="shared" si="0"/>
        <v>AGRESSIVO-HOTELARIAS</v>
      </c>
      <c r="B22" s="40" t="s">
        <v>19</v>
      </c>
      <c r="C22" s="30" t="s">
        <v>27</v>
      </c>
      <c r="D22" s="3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Planilha2</vt:lpstr>
      <vt:lpstr>Planilha3</vt:lpstr>
      <vt:lpstr>Aporte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Valquíria Pereira</dc:creator>
  <cp:lastModifiedBy>Valquíria Pereira</cp:lastModifiedBy>
  <dcterms:created xsi:type="dcterms:W3CDTF">2026-10-12T18:40:37Z</dcterms:created>
  <dcterms:modified xsi:type="dcterms:W3CDTF">2026-10-15T02:13:00Z</dcterms:modified>
</cp:coreProperties>
</file>